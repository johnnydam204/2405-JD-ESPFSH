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34FD9306-269F-4E19-B89A-0AC72337131A}" xr6:coauthVersionLast="47" xr6:coauthVersionMax="47" xr10:uidLastSave="{00000000-0000-0000-0000-000000000000}"/>
  <bookViews>
    <workbookView xWindow="28680" yWindow="-120" windowWidth="29040" windowHeight="15720" xr2:uid="{15208D8C-4424-4030-ACA7-EC8F5D96A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5" i="1"/>
  <c r="F21" i="1" l="1"/>
</calcChain>
</file>

<file path=xl/sharedStrings.xml><?xml version="1.0" encoding="utf-8"?>
<sst xmlns="http://schemas.openxmlformats.org/spreadsheetml/2006/main" count="25" uniqueCount="22">
  <si>
    <t>TT</t>
  </si>
  <si>
    <t>Số lượng</t>
  </si>
  <si>
    <t>Đơn giá</t>
  </si>
  <si>
    <t>Thành tiền</t>
  </si>
  <si>
    <t>Đơn vị</t>
  </si>
  <si>
    <t>Ghi chú</t>
  </si>
  <si>
    <t>Link</t>
  </si>
  <si>
    <t>Vật tư - Linh kiện</t>
  </si>
  <si>
    <t>Tổng:</t>
  </si>
  <si>
    <t>Cái</t>
  </si>
  <si>
    <t>Cổng USB 2.0 mini B cái 5P SMD - Đồng</t>
  </si>
  <si>
    <t>MF-NSMF200-2 Cầu chì tự phục hồi PPTC 2A 6V SMD1206</t>
  </si>
  <si>
    <t>CXT – Từ ý tưởng đến sản phẩm - MF-NSMF200-2 Cầu chì tự phục hồi PPTC 2A 6V SMD1206</t>
  </si>
  <si>
    <t>CXT – Từ ý tưởng đến sản phẩm - Cổng USB 2.0 mini B cái 5P SMD - Đồng</t>
  </si>
  <si>
    <t>CXT – Từ ý tưởng đến sản phẩm - CH340C IC Transceiver 2Mbps USB2.0 SOP-16</t>
  </si>
  <si>
    <t>CH340C IC Transceiver 2Mbps USB2.0 SOP-16</t>
  </si>
  <si>
    <t>CXT – Từ ý tưởng đến sản phẩm - Tụ nhôm 100uF 16V 6.3x5.4mm</t>
  </si>
  <si>
    <t>Tụ nhôm 100uF 16V 6.3x5.4mm</t>
  </si>
  <si>
    <t>CBW201209U121T Ferrite Beads 120Ω 100MHz ±25% 0805 (10c)</t>
  </si>
  <si>
    <t>CXT – Từ ý tưởng đến sản phẩm - CBW201209U121T Ferrite Beads 120Ω 100MHz ±25% 0805 (10c)</t>
  </si>
  <si>
    <t>10c/pcs</t>
  </si>
  <si>
    <t>BẢNG DỰ TRÙ KINH PHÍ VẬT TƯ LINH KIỆN BỘ MẠCH NẠP ESP-PROG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</si>
</sst>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1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hkien.cxtvn.com/4690-ch340c-ic-transceiver-2mbps-usb20-sop-16.html" TargetMode="External"/><Relationship Id="rId2" Type="http://schemas.openxmlformats.org/officeDocument/2006/relationships/hyperlink" Target="https://linhkien.cxtvn.com/1138-cong-usb-20-mini-b-cai-5p-smd-dong.html" TargetMode="External"/><Relationship Id="rId1" Type="http://schemas.openxmlformats.org/officeDocument/2006/relationships/hyperlink" Target="https://linhkien.cxtvn.com/3734-cau-chi-tu-phuc-hoi-pptc-smd1206.html" TargetMode="External"/><Relationship Id="rId5" Type="http://schemas.openxmlformats.org/officeDocument/2006/relationships/hyperlink" Target="https://linhkien.cxtvn.com/7576-ferrite-beads-smd0805-cac-gia-tri.html" TargetMode="External"/><Relationship Id="rId4" Type="http://schemas.openxmlformats.org/officeDocument/2006/relationships/hyperlink" Target="https://linhkien.cxtvn.com/2034-tu-nhom-100uf-16v-63x54m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A92F-4D0F-4597-AA22-B99AF08E5BDD}">
  <dimension ref="A2:H21"/>
  <sheetViews>
    <sheetView tabSelected="1" topLeftCell="A2" workbookViewId="0">
      <selection activeCell="H17" sqref="H5:H17"/>
    </sheetView>
  </sheetViews>
  <sheetFormatPr defaultRowHeight="15" x14ac:dyDescent="0.25"/>
  <cols>
    <col min="1" max="1" width="9.140625" style="2"/>
    <col min="2" max="2" width="60.7109375" style="1" customWidth="1"/>
    <col min="3" max="4" width="11.7109375" style="2" customWidth="1"/>
    <col min="5" max="5" width="13.7109375" style="3" customWidth="1"/>
    <col min="6" max="6" width="15.85546875" style="1" customWidth="1"/>
    <col min="7" max="7" width="60.7109375" style="1" customWidth="1"/>
    <col min="8" max="8" width="77.7109375" style="1" customWidth="1"/>
    <col min="9" max="16384" width="9.140625" style="1"/>
  </cols>
  <sheetData>
    <row r="2" spans="1:8" ht="60" customHeight="1" x14ac:dyDescent="0.25">
      <c r="B2" s="7" t="s">
        <v>21</v>
      </c>
    </row>
    <row r="4" spans="1:8" ht="39.950000000000003" customHeight="1" x14ac:dyDescent="0.25">
      <c r="A4" s="16" t="s">
        <v>0</v>
      </c>
      <c r="B4" s="16" t="s">
        <v>7</v>
      </c>
      <c r="C4" s="16" t="s">
        <v>1</v>
      </c>
      <c r="D4" s="16" t="s">
        <v>4</v>
      </c>
      <c r="E4" s="17" t="s">
        <v>2</v>
      </c>
      <c r="F4" s="16" t="s">
        <v>3</v>
      </c>
      <c r="G4" s="16" t="s">
        <v>5</v>
      </c>
      <c r="H4" s="16" t="s">
        <v>6</v>
      </c>
    </row>
    <row r="5" spans="1:8" ht="20.100000000000001" customHeight="1" x14ac:dyDescent="0.25">
      <c r="A5" s="16">
        <v>1</v>
      </c>
      <c r="B5" s="21" t="s">
        <v>10</v>
      </c>
      <c r="C5" s="8">
        <v>10</v>
      </c>
      <c r="D5" s="8" t="s">
        <v>9</v>
      </c>
      <c r="E5" s="10">
        <v>700</v>
      </c>
      <c r="F5" s="11">
        <f>C5*E5</f>
        <v>7000</v>
      </c>
      <c r="G5" s="12"/>
      <c r="H5" s="23" t="s">
        <v>13</v>
      </c>
    </row>
    <row r="6" spans="1:8" ht="20.100000000000001" customHeight="1" x14ac:dyDescent="0.25">
      <c r="A6" s="16">
        <v>2</v>
      </c>
      <c r="B6" s="20" t="s">
        <v>11</v>
      </c>
      <c r="C6" s="8">
        <v>10</v>
      </c>
      <c r="D6" s="8" t="s">
        <v>9</v>
      </c>
      <c r="E6" s="10">
        <v>1200</v>
      </c>
      <c r="F6" s="11">
        <f t="shared" ref="F6:F20" si="0">C6*E6</f>
        <v>12000</v>
      </c>
      <c r="G6" s="9"/>
      <c r="H6" s="23" t="s">
        <v>12</v>
      </c>
    </row>
    <row r="7" spans="1:8" ht="20.100000000000001" customHeight="1" x14ac:dyDescent="0.25">
      <c r="A7" s="16">
        <v>3</v>
      </c>
      <c r="B7" s="20" t="s">
        <v>15</v>
      </c>
      <c r="C7" s="8">
        <v>5</v>
      </c>
      <c r="D7" s="8" t="s">
        <v>9</v>
      </c>
      <c r="E7" s="15">
        <v>10000</v>
      </c>
      <c r="F7" s="11">
        <f t="shared" ref="F7" si="1">C7*E7</f>
        <v>50000</v>
      </c>
      <c r="G7" s="13"/>
      <c r="H7" s="23" t="s">
        <v>14</v>
      </c>
    </row>
    <row r="8" spans="1:8" ht="20.100000000000001" customHeight="1" x14ac:dyDescent="0.25">
      <c r="A8" s="16">
        <v>4</v>
      </c>
      <c r="B8" s="21" t="s">
        <v>17</v>
      </c>
      <c r="C8" s="14">
        <v>20</v>
      </c>
      <c r="D8" s="8" t="s">
        <v>9</v>
      </c>
      <c r="E8" s="15">
        <v>700</v>
      </c>
      <c r="F8" s="11">
        <f t="shared" si="0"/>
        <v>14000</v>
      </c>
      <c r="G8" s="13"/>
      <c r="H8" s="23" t="s">
        <v>16</v>
      </c>
    </row>
    <row r="9" spans="1:8" ht="20.100000000000001" customHeight="1" x14ac:dyDescent="0.25">
      <c r="A9" s="16">
        <v>5</v>
      </c>
      <c r="B9" s="21" t="s">
        <v>18</v>
      </c>
      <c r="C9" s="8">
        <v>2</v>
      </c>
      <c r="D9" s="8" t="s">
        <v>20</v>
      </c>
      <c r="E9" s="10">
        <v>3000</v>
      </c>
      <c r="F9" s="11">
        <f t="shared" si="0"/>
        <v>6000</v>
      </c>
      <c r="G9" s="9"/>
      <c r="H9" s="23" t="s">
        <v>19</v>
      </c>
    </row>
    <row r="10" spans="1:8" ht="20.100000000000001" customHeight="1" x14ac:dyDescent="0.25">
      <c r="A10" s="16">
        <v>6</v>
      </c>
      <c r="B10" s="21"/>
      <c r="C10" s="8"/>
      <c r="D10" s="8"/>
      <c r="E10" s="10"/>
      <c r="F10" s="11">
        <f t="shared" si="0"/>
        <v>0</v>
      </c>
      <c r="G10" s="9"/>
      <c r="H10" s="23"/>
    </row>
    <row r="11" spans="1:8" ht="20.100000000000001" customHeight="1" x14ac:dyDescent="0.25">
      <c r="A11" s="16">
        <v>7</v>
      </c>
      <c r="B11" s="22"/>
      <c r="C11" s="8"/>
      <c r="D11" s="8"/>
      <c r="E11" s="10"/>
      <c r="F11" s="11">
        <f t="shared" si="0"/>
        <v>0</v>
      </c>
      <c r="G11" s="9"/>
      <c r="H11" s="23"/>
    </row>
    <row r="12" spans="1:8" ht="20.100000000000001" customHeight="1" x14ac:dyDescent="0.25">
      <c r="A12" s="16">
        <v>8</v>
      </c>
      <c r="B12" s="5"/>
      <c r="C12" s="4"/>
      <c r="D12" s="8"/>
      <c r="E12" s="6"/>
      <c r="F12" s="11">
        <f t="shared" si="0"/>
        <v>0</v>
      </c>
      <c r="G12" s="5"/>
      <c r="H12" s="23"/>
    </row>
    <row r="13" spans="1:8" ht="20.100000000000001" customHeight="1" x14ac:dyDescent="0.25">
      <c r="A13" s="16">
        <v>9</v>
      </c>
      <c r="B13" s="5"/>
      <c r="C13" s="4"/>
      <c r="D13" s="4"/>
      <c r="E13" s="6"/>
      <c r="F13" s="11">
        <f t="shared" si="0"/>
        <v>0</v>
      </c>
      <c r="G13" s="5"/>
      <c r="H13" s="23"/>
    </row>
    <row r="14" spans="1:8" ht="20.100000000000001" customHeight="1" x14ac:dyDescent="0.25">
      <c r="A14" s="16">
        <v>10</v>
      </c>
      <c r="B14" s="5"/>
      <c r="C14" s="4"/>
      <c r="D14" s="4"/>
      <c r="E14" s="6"/>
      <c r="F14" s="11">
        <f t="shared" si="0"/>
        <v>0</v>
      </c>
      <c r="G14" s="5"/>
      <c r="H14" s="23"/>
    </row>
    <row r="15" spans="1:8" ht="20.100000000000001" customHeight="1" x14ac:dyDescent="0.25">
      <c r="A15" s="16">
        <v>11</v>
      </c>
      <c r="B15" s="5"/>
      <c r="C15" s="4"/>
      <c r="D15" s="4"/>
      <c r="E15" s="6"/>
      <c r="F15" s="11">
        <f t="shared" si="0"/>
        <v>0</v>
      </c>
      <c r="G15" s="5"/>
      <c r="H15" s="23"/>
    </row>
    <row r="16" spans="1:8" ht="20.100000000000001" customHeight="1" x14ac:dyDescent="0.25">
      <c r="A16" s="16">
        <v>12</v>
      </c>
      <c r="B16" s="5"/>
      <c r="C16" s="4"/>
      <c r="D16" s="4"/>
      <c r="E16" s="6"/>
      <c r="F16" s="11">
        <f t="shared" si="0"/>
        <v>0</v>
      </c>
      <c r="G16" s="5"/>
      <c r="H16" s="23"/>
    </row>
    <row r="17" spans="1:8" ht="20.100000000000001" customHeight="1" x14ac:dyDescent="0.25">
      <c r="A17" s="16">
        <v>13</v>
      </c>
      <c r="B17" s="5"/>
      <c r="C17" s="4"/>
      <c r="D17" s="4"/>
      <c r="E17" s="6"/>
      <c r="F17" s="11">
        <f t="shared" si="0"/>
        <v>0</v>
      </c>
      <c r="G17" s="5"/>
      <c r="H17" s="23"/>
    </row>
    <row r="18" spans="1:8" ht="20.100000000000001" customHeight="1" x14ac:dyDescent="0.25">
      <c r="A18" s="16">
        <v>14</v>
      </c>
      <c r="B18" s="5"/>
      <c r="C18" s="4"/>
      <c r="D18" s="4"/>
      <c r="E18" s="6"/>
      <c r="F18" s="11">
        <f t="shared" si="0"/>
        <v>0</v>
      </c>
      <c r="G18" s="5"/>
      <c r="H18" s="23"/>
    </row>
    <row r="19" spans="1:8" ht="20.100000000000001" customHeight="1" x14ac:dyDescent="0.25">
      <c r="A19" s="16">
        <v>15</v>
      </c>
      <c r="B19" s="5"/>
      <c r="C19" s="4"/>
      <c r="D19" s="4"/>
      <c r="E19" s="6"/>
      <c r="F19" s="11">
        <f t="shared" si="0"/>
        <v>0</v>
      </c>
      <c r="G19" s="5"/>
      <c r="H19" s="5"/>
    </row>
    <row r="20" spans="1:8" ht="20.100000000000001" customHeight="1" x14ac:dyDescent="0.25">
      <c r="A20" s="16">
        <v>16</v>
      </c>
      <c r="B20" s="5"/>
      <c r="C20" s="4"/>
      <c r="D20" s="4"/>
      <c r="E20" s="6"/>
      <c r="F20" s="11">
        <f t="shared" si="0"/>
        <v>0</v>
      </c>
      <c r="G20" s="5"/>
      <c r="H20" s="5"/>
    </row>
    <row r="21" spans="1:8" ht="20.100000000000001" customHeight="1" x14ac:dyDescent="0.25">
      <c r="E21" s="18" t="s">
        <v>8</v>
      </c>
      <c r="F21" s="19">
        <f>SUM(F5:F20)</f>
        <v>89000</v>
      </c>
    </row>
  </sheetData>
  <hyperlinks>
    <hyperlink ref="H6" r:id="rId1" display="https://linhkien.cxtvn.com/3734-cau-chi-tu-phuc-hoi-pptc-smd1206.html" xr:uid="{C5DD8B0B-5DC5-4584-A36F-005C8606C712}"/>
    <hyperlink ref="H5" r:id="rId2" display="https://linhkien.cxtvn.com/1138-cong-usb-20-mini-b-cai-5p-smd-dong.html" xr:uid="{C181946E-E813-48FE-BAA1-6D0AC903BC08}"/>
    <hyperlink ref="H7" r:id="rId3" display="https://linhkien.cxtvn.com/4690-ch340c-ic-transceiver-2mbps-usb20-sop-16.html" xr:uid="{FF39D50B-29A4-4141-A991-1DE4E19B32BB}"/>
    <hyperlink ref="H8" r:id="rId4" display="https://linhkien.cxtvn.com/2034-tu-nhom-100uf-16v-63x54mm.html" xr:uid="{50E3AE3E-1730-4102-A125-9DC4E2D5BE57}"/>
    <hyperlink ref="H9" r:id="rId5" display="https://linhkien.cxtvn.com/7576-ferrite-beads-smd0805-cac-gia-tri.html" xr:uid="{B62091E0-B1FB-4B64-AF93-9E8B51A188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Duân Đàm</dc:creator>
  <cp:lastModifiedBy>Duân Đàm</cp:lastModifiedBy>
  <dcterms:created xsi:type="dcterms:W3CDTF">2025-05-12T07:35:29Z</dcterms:created>
  <dcterms:modified xsi:type="dcterms:W3CDTF">2025-05-22T03:13:58Z</dcterms:modified>
</cp:coreProperties>
</file>